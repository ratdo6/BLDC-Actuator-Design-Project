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bennetthazard/Documents/GitHub/BLDC-Actuator-Design-Project/BOM/"/>
    </mc:Choice>
  </mc:AlternateContent>
  <xr:revisionPtr revIDLastSave="339" documentId="8_{E449BB98-BDB5-3249-AF98-3E38A5915C00}" xr6:coauthVersionLast="47" xr6:coauthVersionMax="47" xr10:uidLastSave="{FF8B3CA1-880D-CF41-BF3B-00B1E2780CA1}"/>
  <bookViews>
    <workbookView xWindow="320" yWindow="820" windowWidth="28480" windowHeight="15980" tabRatio="500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1" l="1"/>
  <c r="G25" i="1"/>
  <c r="G26" i="1"/>
  <c r="G24" i="1"/>
  <c r="G28" i="1"/>
  <c r="G27" i="1"/>
  <c r="G7" i="1"/>
  <c r="G18" i="1"/>
  <c r="G17" i="1"/>
  <c r="G14" i="1"/>
  <c r="G20" i="1"/>
  <c r="G8" i="1"/>
  <c r="G22" i="1"/>
  <c r="G16" i="1"/>
  <c r="G15" i="1"/>
  <c r="G13" i="1"/>
  <c r="G12" i="1"/>
  <c r="G10" i="1"/>
  <c r="G6" i="1"/>
  <c r="G30" i="1" l="1"/>
</calcChain>
</file>

<file path=xl/sharedStrings.xml><?xml version="1.0" encoding="utf-8"?>
<sst xmlns="http://schemas.openxmlformats.org/spreadsheetml/2006/main" count="90" uniqueCount="60">
  <si>
    <t>CYCLOIDAL ACTUATOR — BILL OF MATERIALS</t>
  </si>
  <si>
    <t>#</t>
  </si>
  <si>
    <t>Qty</t>
  </si>
  <si>
    <t>Unit</t>
  </si>
  <si>
    <t>Unit Cost ($)</t>
  </si>
  <si>
    <t>Total Cost ($)</t>
  </si>
  <si>
    <t>BEARINGS</t>
  </si>
  <si>
    <t>ea</t>
  </si>
  <si>
    <t>ECCENTRIC SHAFT</t>
  </si>
  <si>
    <t>HOUSING</t>
  </si>
  <si>
    <t>MOTOR</t>
  </si>
  <si>
    <t>FASTENERS &amp; MISC</t>
  </si>
  <si>
    <t>MOTOR CONTROLLER</t>
  </si>
  <si>
    <t>Link</t>
  </si>
  <si>
    <t>ROLLERS</t>
  </si>
  <si>
    <t>CUSTOM PARTS</t>
  </si>
  <si>
    <t>Name</t>
  </si>
  <si>
    <t>ELECTRONICS</t>
  </si>
  <si>
    <t>8308 Motor  | 9:1 Ratio Cyloidal Actuator</t>
  </si>
  <si>
    <t>https://www.alibaba.com/product-detail/KA025XP0-KA025XPO-Size-63-5x76-2x6_1600117064347.html</t>
  </si>
  <si>
    <t>https://www.amazon.com/uxcell-Deep-Groove-Bearings-Rollers-Skateboard/dp/B0D9DLHGV4/ref=sr_1_13?crid=D8QYFOSEDZT5&amp;dib=eyJ2IjoiMSJ9.OgyVGK5Wn1uONXffs5_WbL9tfgKrnldurNEi42TlprolyrtTsz1E9bibD2iYj15bMsmXBWFjrHLo6C7qX6-xXySO3J1f8GgWBxGXEkZRBCkMcHThyKb7MxwBW02iuHhVe6D2aMlcGSI-SWQ3n7NR3LNefPEKeyW0RVqux3_EChqJAHS76f_vWdMMhMqk7EXTf_QX_CQMUl0rXsv1zYnO3i6W5cuEUZmXrPQPlHJ2rMk.6Fm49Sehx686iVwtbt5gFpO87HVZlOBztpJGO_n2jMY&amp;dib_tag=se&amp;keywords=deep%2Bgrove%2Bball%2Bbearings&amp;qid=1780796541&amp;sprefix=deep%2Bgrove%2Bball%2Bbearing%2Caps%2C286&amp;sr=8-13&amp;th=1</t>
  </si>
  <si>
    <t>https://www.amazon.com/uxcell-Deep-Groove-Bearings-Rollers-Skateboard/dp/B0D9DMY13D/ref=sr_1_13?crid=D8QYFOSEDZT5&amp;dib=eyJ2IjoiMSJ9.OgyVGK5Wn1uONXffs5_WbL9tfgKrnldurNEi42TlprolyrtTsz1E9bibD2iYj15bMsmXBWFjrHLo6C7qX6-xXySO3J1f8GgWBxGXEkZRBCkMcHThyKb7MxwBW02iuHhVe6D2aMlcGSI-SWQ3n7NR3LNefPEKeyW0RVqux3_EChqJAHS76f_vWdMMhMqk7EXTf_QX_CQMUl0rXsv1zYnO3i6W5cuEUZmXrPQPlHJ2rMk.6Fm49Sehx686iVwtbt5gFpO87HVZlOBztpJGO_n2jMY&amp;dib_tag=se&amp;keywords=deep%2Bgrove%2Bball%2Bbearings&amp;qid=1780796541&amp;sprefix=deep%2Bgrove%2Bball%2Bbearing%2Caps%2C286&amp;sr=8-13&amp;th=1</t>
  </si>
  <si>
    <t>https://www.amazon.com/HARFINGTON-Stainless-Cylindrical-Furniture-Installation/dp/B0FW41S6QM/ref=sr_1_1_sspa?crid=39HJGVQNWRPTT&amp;dib=eyJ2IjoiMSJ9.hbJU-iw9J-TPCIsN8DpthDuknLUmTovyIL1uEgeEFUrEfeXI2zIlBEOEozV-zNbMzQJwUFtva7ZHemntHKUAzESdUB3lZqqpjMfsF8FwWeltb_iV8jL1TzYhYVAxx6SG8aosO5YvOS5RsNgq-x9fo6KN9AOSerBGbTK1bph675Gasg9W5a0djRh3Mr5h62wXnt1NRbbpzcaR5sA0J0ehuDcuedXez4fWOLJwyQebgFo.akY7WHS5vhi3YrLfyWSmaCYTjdc2IFjv9SgvywSG6fY&amp;dib_tag=se&amp;keywords=M5%2B10mm%2Bdowel%2Bpin&amp;qid=1780857880&amp;sprefix=m5%2B10mm%2Bdowel%2Bpin%2Caps%2C253&amp;sr=8-1-spons&amp;sp_csd=d2lkZ2V0TmFtZT1zcF9hdGY&amp;th=1</t>
  </si>
  <si>
    <t>N/A</t>
  </si>
  <si>
    <t>https://mjbots.com/products/moteus-r4-11</t>
  </si>
  <si>
    <t>Eaglepower 8308 Brushless Motor KV90</t>
  </si>
  <si>
    <t>https://www.aliexpress.us/item/3256807740566993.html?src=google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3256807740566993&amp;ds_e_product_merchant_id=109050950&amp;ds_e_product_country=US&amp;ds_e_product_language=en&amp;ds_e_product_channel=online&amp;ds_e_product_store_id=&amp;ds_url_v=2&amp;albcp=19108282527&amp;albag=&amp;isSmbAutoCall=false&amp;needSmbHouyi=false&amp;gad_source=1&amp;gad_campaignid=19108284222&amp;gbraid=0AAAAAD6I-hEB2fhlGck4DK7GckbOQZCGB&amp;gclid=Cj0KCQjwrZTRBhDSARIsAHidYffJBb4wO34PG2ZsHVbw9lFdM21TNjVcPeoiD1kYLgbrOFnV98Z-qDEaAoYGEALw_wcB&amp;gatewayAdapt=glo2usa</t>
  </si>
  <si>
    <t>https://www.amazon.com/MECCANIXITY-Stainless-Hydraulic-Injection-Industries/dp/B0FDQWNKWD/ref=sr_1_1_sspa?crid=18SAX5T87IYGF&amp;dib=eyJ2IjoiMSJ9.88AMfx8gN4cZP9u7kTIbdrz_4vmzl5FQ-HjdcP2edIIe9uddFvwB7nEMKjEqlHY3KipgCLrLSqL_82_NT-ouVaMtZ7AwjQCwYVZUqL792AUjnbAnfs8rKskJ8aqNX_qFJKJ4dj9cJ9S5XIRfFDNLBYe47c6fclLvZ2eEoQ0qtkzy3UqV210u6O3DntVeOXtsrPOzWl7Ad0JttvCNeijykFtKq289ffSR_TppfR_DPZg._o99vF5Lir6jvsFiWapxzfMkpdNL9NLBExV-AztB-vY&amp;dib_tag=se&amp;keywords=m5%2Bshoulder%2Bbolt&amp;qid=1780851041&amp;sprefix=m5%2Bshoulder%2Bbolt%2Caps%2C236&amp;sr=8-1-spons&amp;sp_csd=d2lkZ2V0TmFtZT1zcF9hdGY&amp;th=1</t>
  </si>
  <si>
    <t>TOTAL COST</t>
  </si>
  <si>
    <t>TOTAL PART COUNT</t>
  </si>
  <si>
    <t>CYCLOIDAL DISC</t>
  </si>
  <si>
    <t>SHAFT COUPLER</t>
  </si>
  <si>
    <t>TOP HOUSING PLATE</t>
  </si>
  <si>
    <t>BACK STRUCTURAL PLATE</t>
  </si>
  <si>
    <t>FRONT STRUCTURAL PLATE</t>
  </si>
  <si>
    <t>M5 SHOULDER SCREW</t>
  </si>
  <si>
    <t>Description / Spec</t>
  </si>
  <si>
    <t>KA025XP0, Crossed Roller Bearing, OD 72.2 x ID 63.5 x W 6.35 mm</t>
  </si>
  <si>
    <t>6700ZZ, Deep Groove Ball Bearing, ID 10 × OD 15× W 4 mm</t>
  </si>
  <si>
    <t>6702ZZ, Deep Groove Ball Bearing, ID 15 x  OD 21 x W 4 mm</t>
  </si>
  <si>
    <t>Dowel Pin, M5 x 10mm 304 Stainless Steel</t>
  </si>
  <si>
    <t>FDM Printed with PLA+, 40% Infill</t>
  </si>
  <si>
    <t>M4x14mm SCREW</t>
  </si>
  <si>
    <t>M4x30mm STANDOFF</t>
  </si>
  <si>
    <t>M2.5x8mm STANDOFF</t>
  </si>
  <si>
    <t>KA025XP0 BEARING</t>
  </si>
  <si>
    <t>6700ZZ BEARING</t>
  </si>
  <si>
    <t>6702ZZ BEARING</t>
  </si>
  <si>
    <t>M5x10mm DOWEL PIN</t>
  </si>
  <si>
    <t>304 Stainless Steel Shoulder Bolt, 6mm Shoulder Dia, 16mm Shoulder Length, M5x0.8 Thread, Hex Socket Shoulder Bolt</t>
  </si>
  <si>
    <t>Black-Oxide Alloy Steel Socket Head Screw, M4x0.7 Thread, 14mm Long</t>
  </si>
  <si>
    <t>Lightweight Aluminum Female Threaded Hex Standoff, 6mm Hex Size, 30mm Long, M4x0.7 Thread</t>
  </si>
  <si>
    <t>Lightweight Aluminum Female Threaded Hex Standoff, 4.5mm Hex Size, 8mm Long, M2.5x0.45 Thread</t>
  </si>
  <si>
    <t>https://www.mcmaster.com/95947A767/</t>
  </si>
  <si>
    <t>https://www.mcmaster.com/91290A150/</t>
  </si>
  <si>
    <t>https://www.mcmaster.com/95947A003/</t>
  </si>
  <si>
    <t>https://www.mcmaster.com/91290A101/</t>
  </si>
  <si>
    <t>Black-Oxide Alloy Steel Socket Head Screw, M2.5x0.45 Thread, 6mm Long</t>
  </si>
  <si>
    <t>M2.5x6mm SCREW</t>
  </si>
  <si>
    <t>MJBots Moteus r4.11 FOC Based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</si>
</sst>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5F5F5"/>
      </patternFill>
    </fill>
  </fills>
  <borders count="9">
    <border>
      <left/>
      <right/>
      <top/>
      <bottom/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2E5FA3"/>
      </left>
      <right/>
      <top style="medium">
        <color rgb="FF2E5FA3"/>
      </top>
      <bottom style="medium">
        <color rgb="FF2E5FA3"/>
      </bottom>
      <diagonal/>
    </border>
    <border>
      <left/>
      <right/>
      <top style="medium">
        <color rgb="FF2E5FA3"/>
      </top>
      <bottom style="medium">
        <color rgb="FF2E5FA3"/>
      </bottom>
      <diagonal/>
    </border>
    <border>
      <left/>
      <right style="medium">
        <color rgb="FF2E5FA3"/>
      </right>
      <top style="medium">
        <color rgb="FF2E5FA3"/>
      </top>
      <bottom style="medium">
        <color rgb="FF2E5FA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8" fillId="5" borderId="2" xfId="1" applyFill="1" applyBorder="1" applyAlignment="1">
      <alignment vertical="center" wrapText="1"/>
    </xf>
    <xf numFmtId="3" fontId="7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left" vertical="center" wrapText="1"/>
    </xf>
    <xf numFmtId="0" fontId="8" fillId="0" borderId="2" xfId="1" applyFill="1" applyBorder="1" applyAlignment="1">
      <alignment vertical="center" wrapText="1"/>
    </xf>
    <xf numFmtId="0" fontId="5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0" fontId="8" fillId="7" borderId="2" xfId="1" applyFill="1" applyBorder="1" applyAlignment="1">
      <alignment vertical="center" wrapText="1"/>
    </xf>
    <xf numFmtId="0" fontId="5" fillId="8" borderId="2" xfId="0" applyFont="1" applyFill="1" applyBorder="1" applyAlignment="1">
      <alignment vertical="center"/>
    </xf>
    <xf numFmtId="0" fontId="5" fillId="8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left" vertical="center" wrapText="1"/>
    </xf>
    <xf numFmtId="0" fontId="8" fillId="8" borderId="2" xfId="1" applyFill="1" applyBorder="1" applyAlignment="1">
      <alignment vertical="center" wrapText="1"/>
    </xf>
    <xf numFmtId="0" fontId="6" fillId="5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8" borderId="2" xfId="0" applyFont="1" applyFill="1" applyBorder="1" applyAlignment="1">
      <alignment vertical="center"/>
    </xf>
    <xf numFmtId="0" fontId="9" fillId="0" borderId="0" xfId="0" applyFont="1"/>
    <xf numFmtId="0" fontId="3" fillId="2" borderId="5" xfId="0" applyFont="1" applyFill="1" applyBorder="1" applyAlignment="1">
      <alignment horizontal="right" vertical="center" indent="1"/>
    </xf>
    <xf numFmtId="0" fontId="3" fillId="2" borderId="6" xfId="0" applyFont="1" applyFill="1" applyBorder="1" applyAlignment="1">
      <alignment horizontal="right" vertical="center" indent="1"/>
    </xf>
    <xf numFmtId="0" fontId="3" fillId="2" borderId="7" xfId="0" applyFont="1" applyFill="1" applyBorder="1" applyAlignment="1">
      <alignment horizontal="righ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left" vertical="center" indent="1"/>
    </xf>
    <xf numFmtId="0" fontId="4" fillId="4" borderId="8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CCFFFF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91290A101/" TargetMode="External"/><Relationship Id="rId3" Type="http://schemas.openxmlformats.org/officeDocument/2006/relationships/hyperlink" Target="https://www.amazon.com/uxcell-Deep-Groove-Bearings-Rollers-Skateboard/dp/B0D9DMY13D/ref=sr_1_13?crid=D8QYFOSEDZT5&amp;dib=eyJ2IjoiMSJ9.OgyVGK5Wn1uONXffs5_WbL9tfgKrnldurNEi42TlprolyrtTsz1E9bibD2iYj15bMsmXBWFjrHLo6C7qX6-xXySO3J1f8GgWBxGXEkZRBCkMcHThyKb7MxwBW02iuHhVe6D2aMlcGSI-SWQ3n7NR3LNefPEKeyW0RVqux3_EChqJAHS76f_vWdMMhMqk7EXTf_QX_CQMUl0rXsv1zYnO3i6W5cuEUZmXrPQPlHJ2rMk.6Fm49Sehx686iVwtbt5gFpO87HVZlOBztpJGO_n2jMY&amp;dib_tag=se&amp;keywords=deep%2Bgrove%2Bball%2Bbearings&amp;qid=1780796541&amp;sprefix=deep%2Bgrove%2Bball%2Bbearing%2Caps%2C286&amp;sr=8-13&amp;th=1" TargetMode="External"/><Relationship Id="rId7" Type="http://schemas.openxmlformats.org/officeDocument/2006/relationships/hyperlink" Target="https://www.mcmaster.com/95947A003/" TargetMode="External"/><Relationship Id="rId2" Type="http://schemas.openxmlformats.org/officeDocument/2006/relationships/hyperlink" Target="https://www.amazon.com/uxcell-Deep-Groove-Bearings-Rollers-Skateboard/dp/B0D9DLHGV4/ref=sr_1_13?crid=D8QYFOSEDZT5&amp;dib=eyJ2IjoiMSJ9.OgyVGK5Wn1uONXffs5_WbL9tfgKrnldurNEi42TlprolyrtTsz1E9bibD2iYj15bMsmXBWFjrHLo6C7qX6-xXySO3J1f8GgWBxGXEkZRBCkMcHThyKb7MxwBW02iuHhVe6D2aMlcGSI-SWQ3n7NR3LNefPEKeyW0RVqux3_EChqJAHS76f_vWdMMhMqk7EXTf_QX_CQMUl0rXsv1zYnO3i6W5cuEUZmXrPQPlHJ2rMk.6Fm49Sehx686iVwtbt5gFpO87HVZlOBztpJGO_n2jMY&amp;dib_tag=se&amp;keywords=deep%2Bgrove%2Bball%2Bbearings&amp;qid=1780796541&amp;sprefix=deep%2Bgrove%2Bball%2Bbearing%2Caps%2C286&amp;sr=8-13&amp;th=1" TargetMode="External"/><Relationship Id="rId1" Type="http://schemas.openxmlformats.org/officeDocument/2006/relationships/hyperlink" Target="https://www.alibaba.com/product-detail/KA025XP0-KA025XPO-Size-63-5x76-2x6_1600117064347.html" TargetMode="External"/><Relationship Id="rId6" Type="http://schemas.openxmlformats.org/officeDocument/2006/relationships/hyperlink" Target="https://www.mcmaster.com/91290A150/" TargetMode="External"/><Relationship Id="rId5" Type="http://schemas.openxmlformats.org/officeDocument/2006/relationships/hyperlink" Target="https://www.mcmaster.com/95947A767/" TargetMode="External"/><Relationship Id="rId4" Type="http://schemas.openxmlformats.org/officeDocument/2006/relationships/hyperlink" Target="https://mjbots.com/products/moteus-r4-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06" zoomScaleNormal="106" workbookViewId="0">
      <pane ySplit="4" topLeftCell="A5" activePane="bottomLeft" state="frozen"/>
      <selection pane="bottomLeft" activeCell="F35" sqref="F35"/>
    </sheetView>
  </sheetViews>
  <sheetFormatPr baseColWidth="10" defaultColWidth="8.6640625" defaultRowHeight="15" x14ac:dyDescent="0.2"/>
  <cols>
    <col min="1" max="1" width="5" customWidth="1"/>
    <col min="2" max="2" width="25.83203125" style="36" customWidth="1"/>
    <col min="3" max="3" width="46.6640625" customWidth="1"/>
    <col min="4" max="4" width="6" customWidth="1"/>
    <col min="5" max="5" width="8" customWidth="1"/>
    <col min="6" max="6" width="12" customWidth="1"/>
    <col min="7" max="7" width="13" customWidth="1"/>
    <col min="8" max="8" width="79.83203125" customWidth="1"/>
  </cols>
  <sheetData>
    <row r="1" spans="1:8" ht="27.75" customHeight="1" x14ac:dyDescent="0.2">
      <c r="A1" s="44" t="s">
        <v>0</v>
      </c>
      <c r="B1" s="44"/>
      <c r="C1" s="44"/>
      <c r="D1" s="44"/>
      <c r="E1" s="44"/>
      <c r="F1" s="44"/>
      <c r="G1" s="44"/>
      <c r="H1" s="44"/>
    </row>
    <row r="2" spans="1:8" ht="18" customHeight="1" x14ac:dyDescent="0.2">
      <c r="A2" s="45" t="s">
        <v>18</v>
      </c>
      <c r="B2" s="45"/>
      <c r="C2" s="45"/>
      <c r="D2" s="45"/>
      <c r="E2" s="45"/>
      <c r="F2" s="45"/>
      <c r="G2" s="45"/>
      <c r="H2" s="45"/>
    </row>
    <row r="3" spans="1:8" ht="6" customHeight="1" thickBot="1" x14ac:dyDescent="0.25"/>
    <row r="4" spans="1:8" ht="21.75" customHeight="1" thickBot="1" x14ac:dyDescent="0.25">
      <c r="A4" s="1" t="s">
        <v>1</v>
      </c>
      <c r="B4" s="1" t="s">
        <v>16</v>
      </c>
      <c r="C4" s="1" t="s">
        <v>36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13</v>
      </c>
    </row>
    <row r="5" spans="1:8" ht="15.75" customHeight="1" x14ac:dyDescent="0.2">
      <c r="A5" s="40" t="s">
        <v>6</v>
      </c>
      <c r="B5" s="40"/>
      <c r="C5" s="40"/>
      <c r="D5" s="40"/>
      <c r="E5" s="40"/>
      <c r="F5" s="40"/>
      <c r="G5" s="40"/>
      <c r="H5" s="40"/>
    </row>
    <row r="6" spans="1:8" ht="30" customHeight="1" x14ac:dyDescent="0.2">
      <c r="A6" s="2">
        <v>1</v>
      </c>
      <c r="B6" s="32" t="s">
        <v>45</v>
      </c>
      <c r="C6" s="3" t="s">
        <v>37</v>
      </c>
      <c r="D6" s="4">
        <v>2</v>
      </c>
      <c r="E6" s="4" t="s">
        <v>7</v>
      </c>
      <c r="F6" s="5">
        <v>10.77</v>
      </c>
      <c r="G6" s="6">
        <f>D6*F6</f>
        <v>21.54</v>
      </c>
      <c r="H6" s="10" t="s">
        <v>19</v>
      </c>
    </row>
    <row r="7" spans="1:8" ht="30" customHeight="1" x14ac:dyDescent="0.2">
      <c r="A7" s="19">
        <v>2</v>
      </c>
      <c r="B7" s="33" t="s">
        <v>46</v>
      </c>
      <c r="C7" s="20" t="s">
        <v>38</v>
      </c>
      <c r="D7" s="21">
        <v>14</v>
      </c>
      <c r="E7" s="21" t="s">
        <v>7</v>
      </c>
      <c r="F7" s="22">
        <v>0.74</v>
      </c>
      <c r="G7" s="23">
        <f>D7*F7</f>
        <v>10.36</v>
      </c>
      <c r="H7" s="24" t="s">
        <v>20</v>
      </c>
    </row>
    <row r="8" spans="1:8" ht="30" customHeight="1" x14ac:dyDescent="0.2">
      <c r="A8" s="12">
        <v>3</v>
      </c>
      <c r="B8" s="34" t="s">
        <v>47</v>
      </c>
      <c r="C8" s="13" t="s">
        <v>39</v>
      </c>
      <c r="D8" s="14">
        <v>2</v>
      </c>
      <c r="E8" s="14" t="s">
        <v>7</v>
      </c>
      <c r="F8" s="15">
        <v>0.95</v>
      </c>
      <c r="G8" s="16">
        <f>D8*F8</f>
        <v>1.9</v>
      </c>
      <c r="H8" s="18" t="s">
        <v>21</v>
      </c>
    </row>
    <row r="9" spans="1:8" ht="15.75" customHeight="1" x14ac:dyDescent="0.2">
      <c r="A9" s="40" t="s">
        <v>14</v>
      </c>
      <c r="B9" s="40"/>
      <c r="C9" s="40"/>
      <c r="D9" s="40"/>
      <c r="E9" s="40"/>
      <c r="F9" s="40"/>
      <c r="G9" s="40"/>
      <c r="H9" s="40"/>
    </row>
    <row r="10" spans="1:8" ht="30" customHeight="1" x14ac:dyDescent="0.2">
      <c r="A10" s="25">
        <v>4</v>
      </c>
      <c r="B10" s="35" t="s">
        <v>48</v>
      </c>
      <c r="C10" s="26" t="s">
        <v>40</v>
      </c>
      <c r="D10" s="27">
        <v>10</v>
      </c>
      <c r="E10" s="27" t="s">
        <v>7</v>
      </c>
      <c r="F10" s="28">
        <v>0.24</v>
      </c>
      <c r="G10" s="29">
        <f>D10*F10</f>
        <v>2.4</v>
      </c>
      <c r="H10" s="26" t="s">
        <v>22</v>
      </c>
    </row>
    <row r="11" spans="1:8" ht="15.75" customHeight="1" x14ac:dyDescent="0.2">
      <c r="A11" s="40" t="s">
        <v>15</v>
      </c>
      <c r="B11" s="40"/>
      <c r="C11" s="40"/>
      <c r="D11" s="40"/>
      <c r="E11" s="40"/>
      <c r="F11" s="40"/>
      <c r="G11" s="40"/>
      <c r="H11" s="40"/>
    </row>
    <row r="12" spans="1:8" ht="30" customHeight="1" x14ac:dyDescent="0.2">
      <c r="A12" s="2">
        <v>5</v>
      </c>
      <c r="B12" s="32" t="s">
        <v>30</v>
      </c>
      <c r="C12" s="7" t="s">
        <v>41</v>
      </c>
      <c r="D12" s="4">
        <v>2</v>
      </c>
      <c r="E12" s="4" t="s">
        <v>7</v>
      </c>
      <c r="F12" s="5">
        <v>1</v>
      </c>
      <c r="G12" s="6">
        <f>D12*F12</f>
        <v>2</v>
      </c>
      <c r="H12" s="3" t="s">
        <v>23</v>
      </c>
    </row>
    <row r="13" spans="1:8" ht="30" customHeight="1" x14ac:dyDescent="0.2">
      <c r="A13" s="19">
        <v>6</v>
      </c>
      <c r="B13" s="33" t="s">
        <v>8</v>
      </c>
      <c r="C13" s="20" t="s">
        <v>41</v>
      </c>
      <c r="D13" s="21">
        <v>1</v>
      </c>
      <c r="E13" s="21" t="s">
        <v>7</v>
      </c>
      <c r="F13" s="22">
        <v>1</v>
      </c>
      <c r="G13" s="23">
        <f>D13*F13</f>
        <v>1</v>
      </c>
      <c r="H13" s="20" t="s">
        <v>23</v>
      </c>
    </row>
    <row r="14" spans="1:8" ht="30" customHeight="1" x14ac:dyDescent="0.2">
      <c r="A14" s="12">
        <v>7</v>
      </c>
      <c r="B14" s="34" t="s">
        <v>31</v>
      </c>
      <c r="C14" s="20" t="s">
        <v>41</v>
      </c>
      <c r="D14" s="14">
        <v>1</v>
      </c>
      <c r="E14" s="14" t="s">
        <v>7</v>
      </c>
      <c r="F14" s="15">
        <v>1</v>
      </c>
      <c r="G14" s="16">
        <f>F14*D14</f>
        <v>1</v>
      </c>
      <c r="H14" s="13" t="s">
        <v>23</v>
      </c>
    </row>
    <row r="15" spans="1:8" ht="30" customHeight="1" x14ac:dyDescent="0.2">
      <c r="A15" s="19">
        <v>8</v>
      </c>
      <c r="B15" s="33" t="s">
        <v>9</v>
      </c>
      <c r="C15" s="20" t="s">
        <v>41</v>
      </c>
      <c r="D15" s="21">
        <v>1</v>
      </c>
      <c r="E15" s="21" t="s">
        <v>7</v>
      </c>
      <c r="F15" s="22">
        <v>2</v>
      </c>
      <c r="G15" s="23">
        <f>D15*F15</f>
        <v>2</v>
      </c>
      <c r="H15" s="20" t="s">
        <v>23</v>
      </c>
    </row>
    <row r="16" spans="1:8" ht="30" customHeight="1" x14ac:dyDescent="0.2">
      <c r="A16" s="2">
        <v>9</v>
      </c>
      <c r="B16" s="32" t="s">
        <v>32</v>
      </c>
      <c r="C16" s="20" t="s">
        <v>41</v>
      </c>
      <c r="D16" s="4">
        <v>1</v>
      </c>
      <c r="E16" s="4" t="s">
        <v>7</v>
      </c>
      <c r="F16" s="5">
        <v>1</v>
      </c>
      <c r="G16" s="6">
        <f>D16*F16</f>
        <v>1</v>
      </c>
      <c r="H16" s="3" t="s">
        <v>23</v>
      </c>
    </row>
    <row r="17" spans="1:8" ht="30" customHeight="1" x14ac:dyDescent="0.2">
      <c r="A17" s="25">
        <v>10</v>
      </c>
      <c r="B17" s="35" t="s">
        <v>33</v>
      </c>
      <c r="C17" s="20" t="s">
        <v>41</v>
      </c>
      <c r="D17" s="27">
        <v>1</v>
      </c>
      <c r="E17" s="27" t="s">
        <v>7</v>
      </c>
      <c r="F17" s="28">
        <v>2</v>
      </c>
      <c r="G17" s="29">
        <f>F17*D17</f>
        <v>2</v>
      </c>
      <c r="H17" s="26" t="s">
        <v>23</v>
      </c>
    </row>
    <row r="18" spans="1:8" ht="30" customHeight="1" x14ac:dyDescent="0.2">
      <c r="A18" s="12">
        <v>11</v>
      </c>
      <c r="B18" s="34" t="s">
        <v>34</v>
      </c>
      <c r="C18" s="20" t="s">
        <v>41</v>
      </c>
      <c r="D18" s="14">
        <v>1</v>
      </c>
      <c r="E18" s="14" t="s">
        <v>7</v>
      </c>
      <c r="F18" s="15">
        <v>2</v>
      </c>
      <c r="G18" s="16">
        <f>F18*D18</f>
        <v>2</v>
      </c>
      <c r="H18" s="13" t="s">
        <v>23</v>
      </c>
    </row>
    <row r="19" spans="1:8" ht="15.75" customHeight="1" x14ac:dyDescent="0.2">
      <c r="A19" s="40" t="s">
        <v>17</v>
      </c>
      <c r="B19" s="40"/>
      <c r="C19" s="40"/>
      <c r="D19" s="40"/>
      <c r="E19" s="40"/>
      <c r="F19" s="40"/>
      <c r="G19" s="40"/>
      <c r="H19" s="40"/>
    </row>
    <row r="20" spans="1:8" ht="30" customHeight="1" x14ac:dyDescent="0.2">
      <c r="A20" s="25">
        <v>12</v>
      </c>
      <c r="B20" s="35" t="s">
        <v>12</v>
      </c>
      <c r="C20" s="30" t="s">
        <v>59</v>
      </c>
      <c r="D20" s="27">
        <v>1</v>
      </c>
      <c r="E20" s="27" t="s">
        <v>7</v>
      </c>
      <c r="F20" s="28">
        <v>60</v>
      </c>
      <c r="G20" s="29">
        <f>F20*D20</f>
        <v>60</v>
      </c>
      <c r="H20" s="31" t="s">
        <v>24</v>
      </c>
    </row>
    <row r="21" spans="1:8" ht="15.75" customHeight="1" x14ac:dyDescent="0.2">
      <c r="A21" s="40" t="s">
        <v>10</v>
      </c>
      <c r="B21" s="40"/>
      <c r="C21" s="40"/>
      <c r="D21" s="40"/>
      <c r="E21" s="40"/>
      <c r="F21" s="40"/>
      <c r="G21" s="40"/>
      <c r="H21" s="40"/>
    </row>
    <row r="22" spans="1:8" ht="30" customHeight="1" x14ac:dyDescent="0.2">
      <c r="A22" s="12">
        <v>13</v>
      </c>
      <c r="B22" s="34" t="s">
        <v>10</v>
      </c>
      <c r="C22" s="17" t="s">
        <v>25</v>
      </c>
      <c r="D22" s="14">
        <v>1</v>
      </c>
      <c r="E22" s="14" t="s">
        <v>7</v>
      </c>
      <c r="F22" s="15">
        <v>70</v>
      </c>
      <c r="G22" s="16">
        <f>D22*F22</f>
        <v>70</v>
      </c>
      <c r="H22" s="13" t="s">
        <v>26</v>
      </c>
    </row>
    <row r="23" spans="1:8" ht="15.75" customHeight="1" x14ac:dyDescent="0.2">
      <c r="A23" s="41" t="s">
        <v>11</v>
      </c>
      <c r="B23" s="42"/>
      <c r="C23" s="42"/>
      <c r="D23" s="42"/>
      <c r="E23" s="42"/>
      <c r="F23" s="42"/>
      <c r="G23" s="42"/>
      <c r="H23" s="43"/>
    </row>
    <row r="24" spans="1:8" ht="30" customHeight="1" x14ac:dyDescent="0.2">
      <c r="A24" s="19">
        <v>14</v>
      </c>
      <c r="B24" s="33" t="s">
        <v>42</v>
      </c>
      <c r="C24" s="20" t="s">
        <v>50</v>
      </c>
      <c r="D24" s="21">
        <v>8</v>
      </c>
      <c r="E24" s="21" t="s">
        <v>7</v>
      </c>
      <c r="F24" s="22">
        <v>0.15</v>
      </c>
      <c r="G24" s="23">
        <f>F24*D24</f>
        <v>1.2</v>
      </c>
      <c r="H24" s="24" t="s">
        <v>54</v>
      </c>
    </row>
    <row r="25" spans="1:8" ht="30" customHeight="1" x14ac:dyDescent="0.2">
      <c r="A25" s="12">
        <v>16</v>
      </c>
      <c r="B25" s="34" t="s">
        <v>58</v>
      </c>
      <c r="C25" s="13" t="s">
        <v>57</v>
      </c>
      <c r="D25" s="14">
        <v>4</v>
      </c>
      <c r="E25" s="14" t="s">
        <v>7</v>
      </c>
      <c r="F25" s="15">
        <v>0.24</v>
      </c>
      <c r="G25" s="16">
        <f>F25*D25</f>
        <v>0.96</v>
      </c>
      <c r="H25" s="18" t="s">
        <v>56</v>
      </c>
    </row>
    <row r="26" spans="1:8" ht="30" customHeight="1" x14ac:dyDescent="0.2">
      <c r="A26" s="19">
        <v>17</v>
      </c>
      <c r="B26" s="33" t="s">
        <v>44</v>
      </c>
      <c r="C26" s="20" t="s">
        <v>52</v>
      </c>
      <c r="D26" s="21">
        <v>4</v>
      </c>
      <c r="E26" s="21" t="s">
        <v>7</v>
      </c>
      <c r="F26" s="22">
        <v>0.52</v>
      </c>
      <c r="G26" s="23">
        <f>F26*D26</f>
        <v>2.08</v>
      </c>
      <c r="H26" s="24" t="s">
        <v>55</v>
      </c>
    </row>
    <row r="27" spans="1:8" ht="30" customHeight="1" x14ac:dyDescent="0.2">
      <c r="A27" s="12">
        <v>18</v>
      </c>
      <c r="B27" s="34" t="s">
        <v>35</v>
      </c>
      <c r="C27" s="17" t="s">
        <v>49</v>
      </c>
      <c r="D27" s="14">
        <v>6</v>
      </c>
      <c r="E27" s="14" t="s">
        <v>7</v>
      </c>
      <c r="F27" s="15">
        <v>0.98</v>
      </c>
      <c r="G27" s="16">
        <f>F27*D27</f>
        <v>5.88</v>
      </c>
      <c r="H27" s="13" t="s">
        <v>27</v>
      </c>
    </row>
    <row r="28" spans="1:8" ht="30" customHeight="1" x14ac:dyDescent="0.2">
      <c r="A28" s="19">
        <v>19</v>
      </c>
      <c r="B28" s="33" t="s">
        <v>43</v>
      </c>
      <c r="C28" s="20" t="s">
        <v>51</v>
      </c>
      <c r="D28" s="21">
        <v>4</v>
      </c>
      <c r="E28" s="21" t="s">
        <v>7</v>
      </c>
      <c r="F28" s="22">
        <v>2.2000000000000002</v>
      </c>
      <c r="G28" s="23">
        <f>F28*D28</f>
        <v>8.8000000000000007</v>
      </c>
      <c r="H28" s="24" t="s">
        <v>53</v>
      </c>
    </row>
    <row r="29" spans="1:8" ht="6" customHeight="1" thickBot="1" x14ac:dyDescent="0.25"/>
    <row r="30" spans="1:8" ht="21.75" customHeight="1" thickBot="1" x14ac:dyDescent="0.25">
      <c r="A30" s="37" t="s">
        <v>28</v>
      </c>
      <c r="B30" s="38"/>
      <c r="C30" s="38"/>
      <c r="D30" s="38"/>
      <c r="E30" s="38"/>
      <c r="F30" s="39"/>
      <c r="G30" s="8">
        <f>SUMIF(B5:B28,"&lt;&gt;",G5:G28)</f>
        <v>196.12</v>
      </c>
      <c r="H30" s="9"/>
    </row>
    <row r="31" spans="1:8" ht="21.75" customHeight="1" thickBot="1" x14ac:dyDescent="0.25">
      <c r="A31" s="37" t="s">
        <v>29</v>
      </c>
      <c r="B31" s="38"/>
      <c r="C31" s="38"/>
      <c r="D31" s="38"/>
      <c r="E31" s="38"/>
      <c r="F31" s="39"/>
      <c r="G31" s="11">
        <f>SUM(D6,D7,D8,D10,D12,D13,D14,D15,D16,D17,D18,D20,D22,D24,D25,D26,D27,D28,)</f>
        <v>64</v>
      </c>
      <c r="H31" s="9"/>
    </row>
  </sheetData>
  <mergeCells count="10">
    <mergeCell ref="A1:H1"/>
    <mergeCell ref="A2:H2"/>
    <mergeCell ref="A5:H5"/>
    <mergeCell ref="A9:H9"/>
    <mergeCell ref="A11:H11"/>
    <mergeCell ref="A31:F31"/>
    <mergeCell ref="A21:H21"/>
    <mergeCell ref="A23:H23"/>
    <mergeCell ref="A30:F30"/>
    <mergeCell ref="A19:H19"/>
  </mergeCells>
  <hyperlinks>
    <hyperlink ref="H6" r:id="rId1" xr:uid="{2D4593E1-F0F7-0044-BD0A-F471AE77F477}"/>
    <hyperlink ref="H7" r:id="rId2" display="https://www.amazon.com/uxcell-Deep-Groove-Bearings-Rollers-Skateboard/dp/B0D9DLHGV4/ref=sr_1_13?crid=D8QYFOSEDZT5&amp;dib=eyJ2IjoiMSJ9.OgyVGK5Wn1uONXffs5_WbL9tfgKrnldurNEi42TlprolyrtTsz1E9bibD2iYj15bMsmXBWFjrHLo6C7qX6-xXySO3J1f8GgWBxGXEkZRBCkMcHThyKb7MxwBW02iuHhVe6D2aMlcGSI-SWQ3n7NR3LNefPEKeyW0RVqux3_EChqJAHS76f_vWdMMhMqk7EXTf_QX_CQMUl0rXsv1zYnO3i6W5cuEUZmXrPQPlHJ2rMk.6Fm49Sehx686iVwtbt5gFpO87HVZlOBztpJGO_n2jMY&amp;dib_tag=se&amp;keywords=deep%2Bgrove%2Bball%2Bbearings&amp;qid=1780796541&amp;sprefix=deep%2Bgrove%2Bball%2Bbearing%2Caps%2C286&amp;sr=8-13&amp;th=1" xr:uid="{3A9D47B3-6E31-AA46-AE8A-3B8AACD751A4}"/>
    <hyperlink ref="H8" r:id="rId3" display="https://www.amazon.com/uxcell-Deep-Groove-Bearings-Rollers-Skateboard/dp/B0D9DMY13D/ref=sr_1_13?crid=D8QYFOSEDZT5&amp;dib=eyJ2IjoiMSJ9.OgyVGK5Wn1uONXffs5_WbL9tfgKrnldurNEi42TlprolyrtTsz1E9bibD2iYj15bMsmXBWFjrHLo6C7qX6-xXySO3J1f8GgWBxGXEkZRBCkMcHThyKb7MxwBW02iuHhVe6D2aMlcGSI-SWQ3n7NR3LNefPEKeyW0RVqux3_EChqJAHS76f_vWdMMhMqk7EXTf_QX_CQMUl0rXsv1zYnO3i6W5cuEUZmXrPQPlHJ2rMk.6Fm49Sehx686iVwtbt5gFpO87HVZlOBztpJGO_n2jMY&amp;dib_tag=se&amp;keywords=deep%2Bgrove%2Bball%2Bbearings&amp;qid=1780796541&amp;sprefix=deep%2Bgrove%2Bball%2Bbearing%2Caps%2C286&amp;sr=8-13&amp;th=1" xr:uid="{0870BE0A-2A78-F146-9B27-7312B7B0FEBA}"/>
    <hyperlink ref="H20" r:id="rId4" xr:uid="{1E05421A-13FD-E64E-B050-670776E2A5AE}"/>
    <hyperlink ref="H28" r:id="rId5" xr:uid="{0372E65C-A840-3D40-9B45-4A4D9067D7F8}"/>
    <hyperlink ref="H24" r:id="rId6" xr:uid="{4ED0224E-6412-D348-96E4-042D6B552B9A}"/>
    <hyperlink ref="H26" r:id="rId7" xr:uid="{9D3F209D-4002-B542-B0CA-B43883319367}"/>
    <hyperlink ref="H25" r:id="rId8" xr:uid="{BD044355-2A3D-AA4E-99FB-21DF69CE0314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Bennett Hazard</cp:lastModifiedBy>
  <cp:revision>0</cp:revision>
  <dcterms:created xsi:type="dcterms:W3CDTF">2026-06-06T21:37:15Z</dcterms:created>
  <dcterms:modified xsi:type="dcterms:W3CDTF">2026-07-01T04:33:01Z</dcterms:modified>
  <dc:language>en-US</dc:language>
</cp:coreProperties>
</file>