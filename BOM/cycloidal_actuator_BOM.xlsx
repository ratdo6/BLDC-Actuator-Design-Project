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oregonstateuniversity-my.sharepoint.com/personal/hazardb_oregonstate_edu/Documents/"/>
    </mc:Choice>
  </mc:AlternateContent>
  <xr:revisionPtr revIDLastSave="255" documentId="8_{10EE7412-C21C-6D43-9880-915C16700FD0}" xr6:coauthVersionLast="47" xr6:coauthVersionMax="47" xr10:uidLastSave="{54D53BA0-287B-5948-8F48-E40E24929B29}"/>
  <bookViews>
    <workbookView xWindow="0" yWindow="500" windowWidth="16380" windowHeight="16280" tabRatio="500" xr2:uid="{00000000-000D-0000-FFFF-FFFF00000000}"/>
  </bookViews>
  <sheets>
    <sheet name="Bill of Materia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1" i="1" l="1"/>
  <c r="I7" i="1"/>
  <c r="I21" i="1"/>
  <c r="I20" i="1"/>
  <c r="I15" i="1"/>
  <c r="I23" i="1"/>
  <c r="I8" i="1"/>
  <c r="I25" i="1"/>
  <c r="I18" i="1"/>
  <c r="I17" i="1"/>
  <c r="I14" i="1"/>
  <c r="I12" i="1"/>
  <c r="I10" i="1"/>
  <c r="I6" i="1"/>
  <c r="I34" i="1" l="1"/>
</calcChain>
</file>

<file path=xl/sharedStrings.xml><?xml version="1.0" encoding="utf-8"?>
<sst xmlns="http://schemas.openxmlformats.org/spreadsheetml/2006/main" count="129" uniqueCount="79">
  <si>
    <t>CYCLOIDAL ACTUATOR — BILL OF MATERIALS</t>
  </si>
  <si>
    <t>#</t>
  </si>
  <si>
    <t>Category</t>
  </si>
  <si>
    <t>Item / Description</t>
  </si>
  <si>
    <t>Part Number / Ref</t>
  </si>
  <si>
    <t>Material / Spec</t>
  </si>
  <si>
    <t>Qty</t>
  </si>
  <si>
    <t>Unit</t>
  </si>
  <si>
    <t>Unit Cost ($)</t>
  </si>
  <si>
    <t>Total Cost ($)</t>
  </si>
  <si>
    <t>BEARINGS</t>
  </si>
  <si>
    <t>Main Output Bearing</t>
  </si>
  <si>
    <t>ea</t>
  </si>
  <si>
    <t>RING PINS &amp; ROLLERS</t>
  </si>
  <si>
    <t>Ring Pins</t>
  </si>
  <si>
    <t>CYCLOIDAL DISCS</t>
  </si>
  <si>
    <t>Tool steel D2, Ø~62 mm, 9 lobes, 10:1 ratio</t>
  </si>
  <si>
    <t>ECCENTRIC SHAFT</t>
  </si>
  <si>
    <t>Eccentric Input Shaft</t>
  </si>
  <si>
    <t>HOUSING</t>
  </si>
  <si>
    <t>MOTOR</t>
  </si>
  <si>
    <t>Motor</t>
  </si>
  <si>
    <t>Brushless outrunner, Ø92 mm</t>
  </si>
  <si>
    <t>FASTENERS &amp; MISC</t>
  </si>
  <si>
    <t>Cam Shaft Bearing</t>
  </si>
  <si>
    <t>Eccentric Bearing</t>
  </si>
  <si>
    <t>Cycloidal Disc</t>
  </si>
  <si>
    <t>8308 Eagle Power Motor  | 10:1 Ratio</t>
  </si>
  <si>
    <t>MOTOR CONTROLLER</t>
  </si>
  <si>
    <t>BLDC FOC Controller</t>
  </si>
  <si>
    <t>Moteus r4.11</t>
  </si>
  <si>
    <t>KA025XPO</t>
  </si>
  <si>
    <t>Size 63.5x76.2x6.35 mm HXHV Four-Point Contact Chrome Steel Thin Section Ball Bearings. https://www.alibaba.com/product-detail/KA025XP0-KA025XPO-Size-63-5x76-2x6_1600117064347.html</t>
  </si>
  <si>
    <t>6700ZZ</t>
  </si>
  <si>
    <t>Deep-Groove Ball Bearings for Rollers, 10mm x 15mm x 4mm Seal Bearings with Fiber Gloves. https://www.amazon.com/uxcell-Deep-Groove-Bearings-Rollers-Skateboard/dp/B0D9DLHGV4/ref=sr_1_13?crid=D8QYFOSEDZT5&amp;dib=eyJ2IjoiMSJ9.OgyVGK5Wn1uONXffs5_WbL9tfgKrnldurNEi42TlprolyrtTsz1E9bibD2iYj15bMsmXBWFjrHLo6C7qX6-xXySO3J1f8GgWBxGXEkZRBCkMcHThyKb7MxwBW02iuHhVe6D2aMlcGSI-SWQ3n7NR3LNefPEKeyW0RVqux3_EChqJAHS76f_vWdMMhMqk7EXTf_QX_CQMUl0rXsv1zYnO3i6W5cuEUZmXrPQPlHJ2rMk.6Fm49Sehx686iVwtbt5gFpO87HVZlOBztpJGO_n2jMY&amp;dib_tag=se&amp;keywords=deep%2Bgrove%2Bball%2Bbearings&amp;qid=1780796541&amp;sprefix=deep%2Bgrove%2Bball%2Bbearing%2Caps%2C286&amp;sr=8-13&amp;th=1</t>
  </si>
  <si>
    <t>Crossed roller bearing, OD 72.2 x ID 63.5 x W 6.35 mm</t>
  </si>
  <si>
    <t>6702ZZ</t>
  </si>
  <si>
    <t>Deep groove ball bearing, ID 15 x  OD 21 x W 4 mm</t>
  </si>
  <si>
    <t>Deep groove ball bearing, ID 10 × OD 15× W 4 mm</t>
  </si>
  <si>
    <t>Deep-Groove Ball Bearings for Rollers, 15mm x 21mm x 4mm Seal Bearings with Fiber Gloves. https://www.amazon.com/uxcell-Deep-Groove-Bearings-Rollers-Skateboard/dp/B0D9DMY13D/ref=sr_1_13?crid=D8QYFOSEDZT5&amp;dib=eyJ2IjoiMSJ9.OgyVGK5Wn1uONXffs5_WbL9tfgKrnldurNEi42TlprolyrtTsz1E9bibD2iYj15bMsmXBWFjrHLo6C7qX6-xXySO3J1f8GgWBxGXEkZRBCkMcHThyKb7MxwBW02iuHhVe6D2aMlcGSI-SWQ3n7NR3LNefPEKeyW0RVqux3_EChqJAHS76f_vWdMMhMqk7EXTf_QX_CQMUl0rXsv1zYnO3i6W5cuEUZmXrPQPlHJ2rMk.6Fm49Sehx686iVwtbt5gFpO87HVZlOBztpJGO_n2jMY&amp;dib_tag=se&amp;keywords=deep%2Bgrove%2Bball%2Bbearings&amp;qid=1780796541&amp;sprefix=deep%2Bgrove%2Bball%2Bbearing%2Caps%2C286&amp;sr=8-13&amp;th=1</t>
  </si>
  <si>
    <t>Ground shaft stock Ø5 mm × 10 mm</t>
  </si>
  <si>
    <t>M5 Steel Dowel Pins</t>
  </si>
  <si>
    <t>Dowel Pins, M5 x 10mm 304 Stainless Steel. https://www.amazon.com/HARFINGTON-Stainless-Cylindrical-Furniture-Installation/dp/B0FW41S6QM/ref=sr_1_1_sspa?crid=39HJGVQNWRPTT&amp;dib=eyJ2IjoiMSJ9.hbJU-iw9J-TPCIsN8DpthDuknLUmTovyIL1uEgeEFUrEfeXI2zIlBEOEozV-zNbMzQJwUFtva7ZHemntHKUAzESdUB3lZqqpjMfsF8FwWeltb_iV8jL1TzYhYVAxx6SG8aosO5YvOS5RsNgq-x9fo6KN9AOSerBGbTK1bph675Gasg9W5a0djRh3Mr5h62wXnt1NRbbpzcaR5sA0J0ehuDcuedXez4fWOLJwyQebgFo.akY7WHS5vhi3YrLfyWSmaCYTjdc2IFjv9SgvywSG6fY&amp;dib_tag=se&amp;keywords=M5%2B10mm%2Bdowel%2Bpin&amp;qid=1780857880&amp;sprefix=m5%2B10mm%2Bdowel%2Bpin%2Caps%2C253&amp;sr=8-1-spons&amp;sp_csd=d2lkZ2V0TmFtZT1zcF9hdGY&amp;th=1</t>
  </si>
  <si>
    <t>Notes / Link</t>
  </si>
  <si>
    <t>PETG</t>
  </si>
  <si>
    <t>E = 2mm. 3D Printed with PETG.</t>
  </si>
  <si>
    <t>Two discs phased 180° apart; profile per parametric equations.</t>
  </si>
  <si>
    <t>Main Housing</t>
  </si>
  <si>
    <t>3D Printed with PETG.</t>
  </si>
  <si>
    <t>Top Housing Plate</t>
  </si>
  <si>
    <t>10-44V, 32A, 14.2g</t>
  </si>
  <si>
    <t>MJBots Moteus r4.11 FOC based controller. https://mjbots.com/products/moteus-r4-11</t>
  </si>
  <si>
    <t>Eaglepower 8308 Brushless Motor KV90. https://www.aliexpress.us/item/3256807740566993.html?src=google&amp;src=google&amp;albch=shopping&amp;acnt=708-803-3821&amp;isdl=y&amp;slnk=&amp;plac=&amp;mtctp=&amp;albbt=Google_7_shopping&amp;aff_platform=google&amp;aff_short_key=UneMJZVf&amp;gclsrc=aw.ds&amp;albagn=888888&amp;ds_e_adid=&amp;ds_e_matchtype=&amp;ds_e_device=c&amp;ds_e_network=x&amp;ds_e_product_group_id=&amp;ds_e_product_id=en3256807740566993&amp;ds_e_product_merchant_id=109050950&amp;ds_e_product_country=US&amp;ds_e_product_language=en&amp;ds_e_product_channel=online&amp;ds_e_product_store_id=&amp;ds_url_v=2&amp;albcp=19108282527&amp;albag=&amp;isSmbAutoCall=false&amp;needSmbHouyi=false&amp;gad_source=1&amp;gad_campaignid=19108284222&amp;gbraid=0AAAAAD6I-hEB2fhlGck4DK7GckbOQZCGB&amp;gclid=Cj0KCQjwrZTRBhDSARIsAHidYffJBb4wO34PG2ZsHVbw9lFdM21TNjVcPeoiD1kYLgbrOFnV98Z-qDEaAoYGEALw_wcB&amp;gatewayAdapt=glo2usa</t>
  </si>
  <si>
    <t>Eaglepower LA 8308, KV90</t>
  </si>
  <si>
    <t>ESTIMATED TOTAL</t>
  </si>
  <si>
    <t>Support Plates</t>
  </si>
  <si>
    <t>Eccentric Input Shaft Coupler</t>
  </si>
  <si>
    <t>SUPPORT PLATES</t>
  </si>
  <si>
    <t>Back Support Plate</t>
  </si>
  <si>
    <t>Front Support Plate</t>
  </si>
  <si>
    <t>Carbon Fiber</t>
  </si>
  <si>
    <t>Custom, CNC machined</t>
  </si>
  <si>
    <t>Custom, 3D Printed</t>
  </si>
  <si>
    <t>Custom, Laser Cut</t>
  </si>
  <si>
    <t>Laser cut carbon fiber.</t>
  </si>
  <si>
    <t>M5 Steel Screws</t>
  </si>
  <si>
    <t>M4 Steel Screws</t>
  </si>
  <si>
    <t>M2.5 Steel Screws</t>
  </si>
  <si>
    <t>M2.5 Steel Standoffs</t>
  </si>
  <si>
    <t>M5 Aluminum Standoffs</t>
  </si>
  <si>
    <t>M5 Shoulder Screws</t>
  </si>
  <si>
    <t>M2.5 x</t>
  </si>
  <si>
    <t>M5 x 30mm</t>
  </si>
  <si>
    <t>M6 Shoulder x 16mm, M5 thread x 10mm</t>
  </si>
  <si>
    <t>304 Stainless Steel, Hex Socket</t>
  </si>
  <si>
    <t>304 Stainless Steel Shoulder Bolt 6mm Shoulder Dia 16mm Shoulder Length M5x0.8 Thread Hex Socket Shoulder Bolts. https://www.amazon.com/MECCANIXITY-Stainless-Hydraulic-Injection-Industries/dp/B0FDQWNKWD/ref=sr_1_1_sspa?crid=18SAX5T87IYGF&amp;dib=eyJ2IjoiMSJ9.88AMfx8gN4cZP9u7kTIbdrz_4vmzl5FQ-HjdcP2edIIe9uddFvwB7nEMKjEqlHY3KipgCLrLSqL_82_NT-ouVaMtZ7AwjQCwYVZUqL792AUjnbAnfs8rKskJ8aqNX_qFJKJ4dj9cJ9S5XIRfFDNLBYe47c6fclLvZ2eEoQ0qtkzy3UqV210u6O3DntVeOXtsrPOzWl7Ad0JttvCNeijykFtKq289ffSR_TppfR_DPZg._o99vF5Lir6jvsFiWapxzfMkpdNL9NLBExV-AztB-vY&amp;dib_tag=se&amp;keywords=m5%2Bshoulder%2Bbolt&amp;qid=1780851041&amp;sprefix=m5%2Bshoulder%2Bbolt%2Caps%2C236&amp;sr=8-1-spons&amp;sp_csd=d2lkZ2V0TmFtZT1zcF9hdGY&amp;th=1</t>
  </si>
  <si>
    <t>M5 x 14mm</t>
  </si>
  <si>
    <t>M2.5 x 10mm</t>
  </si>
  <si>
    <t>M4 x 10mm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</si>
</sst>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10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1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5FA3"/>
        <bgColor rgb="FF3366FF"/>
      </patternFill>
    </fill>
    <fill>
      <patternFill patternType="solid">
        <fgColor rgb="FFBDD7EE"/>
        <bgColor rgb="FF99CCFF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FFFFF"/>
      </patternFill>
    </fill>
  </fills>
  <borders count="9">
    <border>
      <left/>
      <right/>
      <top/>
      <bottom/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/>
      <right/>
      <top style="medium">
        <color rgb="FF2E5FA3"/>
      </top>
      <bottom style="medium">
        <color rgb="FF2E5FA3"/>
      </bottom>
      <diagonal/>
    </border>
    <border>
      <left/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4" borderId="2" xfId="0" applyFont="1" applyFill="1" applyBorder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3" fillId="2" borderId="5" xfId="0" applyFont="1" applyFill="1" applyBorder="1" applyAlignment="1">
      <alignment horizontal="right" vertical="center" indent="1"/>
    </xf>
    <xf numFmtId="0" fontId="3" fillId="2" borderId="6" xfId="0" applyFont="1" applyFill="1" applyBorder="1" applyAlignment="1">
      <alignment horizontal="right" vertical="center" indent="1"/>
    </xf>
    <xf numFmtId="0" fontId="3" fillId="2" borderId="7" xfId="0" applyFont="1" applyFill="1" applyBorder="1" applyAlignment="1">
      <alignment horizontal="right" vertical="center" indent="1"/>
    </xf>
    <xf numFmtId="0" fontId="4" fillId="4" borderId="3" xfId="0" applyFont="1" applyFill="1" applyBorder="1" applyAlignment="1">
      <alignment horizontal="left" vertical="center" indent="1"/>
    </xf>
    <xf numFmtId="0" fontId="4" fillId="4" borderId="4" xfId="0" applyFont="1" applyFill="1" applyBorder="1" applyAlignment="1">
      <alignment horizontal="left" vertical="center" indent="1"/>
    </xf>
    <xf numFmtId="0" fontId="4" fillId="4" borderId="8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5F5F5"/>
      <rgbColor rgb="FFCCFFFF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abSelected="1" topLeftCell="B1" zoomScale="106" zoomScaleNormal="106" workbookViewId="0">
      <pane ySplit="4" topLeftCell="A20" activePane="bottomLeft" state="frozen"/>
      <selection pane="bottomLeft" activeCell="E30" sqref="E30"/>
    </sheetView>
  </sheetViews>
  <sheetFormatPr baseColWidth="10" defaultColWidth="8.6640625" defaultRowHeight="15" x14ac:dyDescent="0.2"/>
  <cols>
    <col min="1" max="1" width="5" customWidth="1"/>
    <col min="2" max="2" width="19.83203125" customWidth="1"/>
    <col min="3" max="3" width="32" customWidth="1"/>
    <col min="4" max="4" width="25" customWidth="1"/>
    <col min="5" max="5" width="23.6640625" customWidth="1"/>
    <col min="6" max="6" width="6" customWidth="1"/>
    <col min="7" max="7" width="8" customWidth="1"/>
    <col min="8" max="8" width="12" customWidth="1"/>
    <col min="9" max="9" width="13" customWidth="1"/>
    <col min="10" max="10" width="72.1640625" customWidth="1"/>
  </cols>
  <sheetData>
    <row r="1" spans="1:10" ht="27.75" customHeight="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ht="18" customHeight="1" x14ac:dyDescent="0.2">
      <c r="A2" s="2" t="s">
        <v>27</v>
      </c>
      <c r="B2" s="2"/>
      <c r="C2" s="2"/>
      <c r="D2" s="2"/>
      <c r="E2" s="2"/>
      <c r="F2" s="2"/>
      <c r="G2" s="2"/>
      <c r="H2" s="2"/>
      <c r="I2" s="2"/>
      <c r="J2" s="2"/>
    </row>
    <row r="3" spans="1:10" ht="6" customHeight="1" x14ac:dyDescent="0.2"/>
    <row r="4" spans="1:10" ht="21.75" customHeight="1" x14ac:dyDescent="0.2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43</v>
      </c>
    </row>
    <row r="5" spans="1:10" ht="15.75" customHeight="1" x14ac:dyDescent="0.2">
      <c r="A5" s="1" t="s">
        <v>10</v>
      </c>
      <c r="B5" s="1"/>
      <c r="C5" s="1"/>
      <c r="D5" s="1"/>
      <c r="E5" s="1"/>
      <c r="F5" s="1"/>
      <c r="G5" s="1"/>
      <c r="H5" s="1"/>
      <c r="I5" s="1"/>
      <c r="J5" s="1"/>
    </row>
    <row r="6" spans="1:10" ht="30" customHeight="1" x14ac:dyDescent="0.2">
      <c r="A6" s="5">
        <v>1</v>
      </c>
      <c r="B6" s="5" t="s">
        <v>10</v>
      </c>
      <c r="C6" s="6" t="s">
        <v>11</v>
      </c>
      <c r="D6" s="5" t="s">
        <v>31</v>
      </c>
      <c r="E6" s="6" t="s">
        <v>35</v>
      </c>
      <c r="F6" s="7">
        <v>2</v>
      </c>
      <c r="G6" s="7" t="s">
        <v>12</v>
      </c>
      <c r="H6" s="8">
        <v>10.77</v>
      </c>
      <c r="I6" s="9">
        <f>F6*H6</f>
        <v>21.54</v>
      </c>
      <c r="J6" s="6" t="s">
        <v>32</v>
      </c>
    </row>
    <row r="7" spans="1:10" ht="30" customHeight="1" x14ac:dyDescent="0.2">
      <c r="A7" s="5">
        <v>2</v>
      </c>
      <c r="B7" s="5" t="s">
        <v>10</v>
      </c>
      <c r="C7" s="6" t="s">
        <v>24</v>
      </c>
      <c r="D7" s="5" t="s">
        <v>33</v>
      </c>
      <c r="E7" s="6" t="s">
        <v>38</v>
      </c>
      <c r="F7" s="7">
        <v>14</v>
      </c>
      <c r="G7" s="7" t="s">
        <v>12</v>
      </c>
      <c r="H7" s="8">
        <v>0.74</v>
      </c>
      <c r="I7" s="9">
        <f>F7*H7</f>
        <v>10.36</v>
      </c>
      <c r="J7" s="6" t="s">
        <v>34</v>
      </c>
    </row>
    <row r="8" spans="1:10" ht="30" customHeight="1" x14ac:dyDescent="0.2">
      <c r="A8" s="10">
        <v>3</v>
      </c>
      <c r="B8" s="10" t="s">
        <v>10</v>
      </c>
      <c r="C8" s="11" t="s">
        <v>25</v>
      </c>
      <c r="D8" s="10" t="s">
        <v>36</v>
      </c>
      <c r="E8" s="11" t="s">
        <v>37</v>
      </c>
      <c r="F8" s="12">
        <v>2</v>
      </c>
      <c r="G8" s="12" t="s">
        <v>12</v>
      </c>
      <c r="H8" s="13">
        <v>0.95</v>
      </c>
      <c r="I8" s="14">
        <f>F8*H8</f>
        <v>1.9</v>
      </c>
      <c r="J8" s="11" t="s">
        <v>39</v>
      </c>
    </row>
    <row r="9" spans="1:10" ht="15.75" customHeight="1" x14ac:dyDescent="0.2">
      <c r="A9" s="1" t="s">
        <v>13</v>
      </c>
      <c r="B9" s="1"/>
      <c r="C9" s="1"/>
      <c r="D9" s="1"/>
      <c r="E9" s="1"/>
      <c r="F9" s="1"/>
      <c r="G9" s="1"/>
      <c r="H9" s="1"/>
      <c r="I9" s="1"/>
      <c r="J9" s="1"/>
    </row>
    <row r="10" spans="1:10" ht="30" customHeight="1" x14ac:dyDescent="0.2">
      <c r="A10" s="5">
        <v>3</v>
      </c>
      <c r="B10" s="5" t="s">
        <v>13</v>
      </c>
      <c r="C10" s="6" t="s">
        <v>14</v>
      </c>
      <c r="D10" s="5" t="s">
        <v>41</v>
      </c>
      <c r="E10" s="6" t="s">
        <v>40</v>
      </c>
      <c r="F10" s="7">
        <v>10</v>
      </c>
      <c r="G10" s="7" t="s">
        <v>12</v>
      </c>
      <c r="H10" s="8">
        <v>0.24</v>
      </c>
      <c r="I10" s="9">
        <f>F10*H10</f>
        <v>2.4</v>
      </c>
      <c r="J10" s="6" t="s">
        <v>42</v>
      </c>
    </row>
    <row r="11" spans="1:10" ht="15.75" customHeight="1" x14ac:dyDescent="0.2">
      <c r="A11" s="1" t="s">
        <v>15</v>
      </c>
      <c r="B11" s="1"/>
      <c r="C11" s="1"/>
      <c r="D11" s="1"/>
      <c r="E11" s="1"/>
      <c r="F11" s="1"/>
      <c r="G11" s="1"/>
      <c r="H11" s="1"/>
      <c r="I11" s="1"/>
      <c r="J11" s="1"/>
    </row>
    <row r="12" spans="1:10" ht="30" customHeight="1" x14ac:dyDescent="0.2">
      <c r="A12" s="5">
        <v>4</v>
      </c>
      <c r="B12" s="5" t="s">
        <v>15</v>
      </c>
      <c r="C12" s="6" t="s">
        <v>26</v>
      </c>
      <c r="D12" s="5" t="s">
        <v>61</v>
      </c>
      <c r="E12" s="6" t="s">
        <v>16</v>
      </c>
      <c r="F12" s="7">
        <v>2</v>
      </c>
      <c r="G12" s="7" t="s">
        <v>12</v>
      </c>
      <c r="H12" s="8">
        <v>20</v>
      </c>
      <c r="I12" s="9">
        <f>F12*H12</f>
        <v>40</v>
      </c>
      <c r="J12" s="6" t="s">
        <v>46</v>
      </c>
    </row>
    <row r="13" spans="1:10" ht="15.75" customHeight="1" x14ac:dyDescent="0.2">
      <c r="A13" s="1" t="s">
        <v>17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 ht="30" customHeight="1" x14ac:dyDescent="0.2">
      <c r="A14" s="10">
        <v>5</v>
      </c>
      <c r="B14" s="10" t="s">
        <v>17</v>
      </c>
      <c r="C14" s="11" t="s">
        <v>18</v>
      </c>
      <c r="D14" s="10" t="s">
        <v>62</v>
      </c>
      <c r="E14" s="11" t="s">
        <v>44</v>
      </c>
      <c r="F14" s="12">
        <v>1</v>
      </c>
      <c r="G14" s="12" t="s">
        <v>12</v>
      </c>
      <c r="H14" s="13">
        <v>2</v>
      </c>
      <c r="I14" s="14">
        <f>F14*H14</f>
        <v>2</v>
      </c>
      <c r="J14" s="11" t="s">
        <v>45</v>
      </c>
    </row>
    <row r="15" spans="1:10" ht="30" customHeight="1" x14ac:dyDescent="0.2">
      <c r="A15" s="10">
        <v>6</v>
      </c>
      <c r="B15" s="10" t="s">
        <v>17</v>
      </c>
      <c r="C15" s="11" t="s">
        <v>56</v>
      </c>
      <c r="D15" s="10" t="s">
        <v>62</v>
      </c>
      <c r="E15" s="11" t="s">
        <v>44</v>
      </c>
      <c r="F15" s="12">
        <v>1</v>
      </c>
      <c r="G15" s="12" t="s">
        <v>12</v>
      </c>
      <c r="H15" s="13">
        <v>2</v>
      </c>
      <c r="I15" s="14">
        <f>H15*F15</f>
        <v>2</v>
      </c>
      <c r="J15" s="11" t="s">
        <v>48</v>
      </c>
    </row>
    <row r="16" spans="1:10" ht="15.75" customHeight="1" x14ac:dyDescent="0.2">
      <c r="A16" s="1" t="s">
        <v>19</v>
      </c>
      <c r="B16" s="1"/>
      <c r="C16" s="1"/>
      <c r="D16" s="1"/>
      <c r="E16" s="1"/>
      <c r="F16" s="1"/>
      <c r="G16" s="1"/>
      <c r="H16" s="1"/>
      <c r="I16" s="1"/>
      <c r="J16" s="1"/>
    </row>
    <row r="17" spans="1:10" ht="30" customHeight="1" x14ac:dyDescent="0.2">
      <c r="A17" s="10">
        <v>7</v>
      </c>
      <c r="B17" s="10" t="s">
        <v>19</v>
      </c>
      <c r="C17" s="11" t="s">
        <v>47</v>
      </c>
      <c r="D17" s="10" t="s">
        <v>62</v>
      </c>
      <c r="E17" s="11" t="s">
        <v>44</v>
      </c>
      <c r="F17" s="12">
        <v>1</v>
      </c>
      <c r="G17" s="12" t="s">
        <v>12</v>
      </c>
      <c r="H17" s="13">
        <v>5</v>
      </c>
      <c r="I17" s="14">
        <f>F17*H17</f>
        <v>5</v>
      </c>
      <c r="J17" s="11" t="s">
        <v>48</v>
      </c>
    </row>
    <row r="18" spans="1:10" ht="30" customHeight="1" x14ac:dyDescent="0.2">
      <c r="A18" s="5">
        <v>8</v>
      </c>
      <c r="B18" s="5" t="s">
        <v>19</v>
      </c>
      <c r="C18" s="6" t="s">
        <v>49</v>
      </c>
      <c r="D18" s="5" t="s">
        <v>62</v>
      </c>
      <c r="E18" s="6" t="s">
        <v>44</v>
      </c>
      <c r="F18" s="7">
        <v>1</v>
      </c>
      <c r="G18" s="7" t="s">
        <v>12</v>
      </c>
      <c r="H18" s="8">
        <v>3</v>
      </c>
      <c r="I18" s="9">
        <f>F18*H18</f>
        <v>3</v>
      </c>
      <c r="J18" s="6" t="s">
        <v>48</v>
      </c>
    </row>
    <row r="19" spans="1:10" ht="15.75" customHeight="1" x14ac:dyDescent="0.2">
      <c r="A19" s="1" t="s">
        <v>55</v>
      </c>
      <c r="B19" s="1"/>
      <c r="C19" s="1"/>
      <c r="D19" s="1"/>
      <c r="E19" s="1"/>
      <c r="F19" s="1"/>
      <c r="G19" s="1"/>
      <c r="H19" s="1"/>
      <c r="I19" s="1"/>
      <c r="J19" s="1"/>
    </row>
    <row r="20" spans="1:10" ht="30" customHeight="1" x14ac:dyDescent="0.2">
      <c r="A20" s="5">
        <v>9</v>
      </c>
      <c r="B20" s="5" t="s">
        <v>57</v>
      </c>
      <c r="C20" s="6" t="s">
        <v>58</v>
      </c>
      <c r="D20" s="5" t="s">
        <v>63</v>
      </c>
      <c r="E20" s="6" t="s">
        <v>60</v>
      </c>
      <c r="F20" s="7">
        <v>1</v>
      </c>
      <c r="G20" s="7" t="s">
        <v>12</v>
      </c>
      <c r="H20" s="8">
        <v>10</v>
      </c>
      <c r="I20" s="9">
        <f>H20*F20</f>
        <v>10</v>
      </c>
      <c r="J20" s="6" t="s">
        <v>64</v>
      </c>
    </row>
    <row r="21" spans="1:10" ht="30" customHeight="1" x14ac:dyDescent="0.2">
      <c r="A21" s="10">
        <v>10</v>
      </c>
      <c r="B21" s="10" t="s">
        <v>57</v>
      </c>
      <c r="C21" s="11" t="s">
        <v>59</v>
      </c>
      <c r="D21" s="10" t="s">
        <v>63</v>
      </c>
      <c r="E21" s="11" t="s">
        <v>60</v>
      </c>
      <c r="F21" s="12">
        <v>1</v>
      </c>
      <c r="G21" s="12" t="s">
        <v>12</v>
      </c>
      <c r="H21" s="13">
        <v>10</v>
      </c>
      <c r="I21" s="14">
        <f>H21*F21</f>
        <v>10</v>
      </c>
      <c r="J21" s="11" t="s">
        <v>64</v>
      </c>
    </row>
    <row r="22" spans="1:10" ht="15.75" customHeight="1" x14ac:dyDescent="0.2">
      <c r="A22" s="1" t="s">
        <v>28</v>
      </c>
      <c r="B22" s="1"/>
      <c r="C22" s="1"/>
      <c r="D22" s="1"/>
      <c r="E22" s="1"/>
      <c r="F22" s="1"/>
      <c r="G22" s="1"/>
      <c r="H22" s="1"/>
      <c r="I22" s="1"/>
      <c r="J22" s="1"/>
    </row>
    <row r="23" spans="1:10" ht="30" customHeight="1" x14ac:dyDescent="0.2">
      <c r="A23" s="5">
        <v>11</v>
      </c>
      <c r="B23" s="5" t="s">
        <v>28</v>
      </c>
      <c r="C23" s="6" t="s">
        <v>29</v>
      </c>
      <c r="D23" s="5" t="s">
        <v>30</v>
      </c>
      <c r="E23" s="6" t="s">
        <v>50</v>
      </c>
      <c r="F23" s="7">
        <v>1</v>
      </c>
      <c r="G23" s="7" t="s">
        <v>12</v>
      </c>
      <c r="H23" s="8">
        <v>60</v>
      </c>
      <c r="I23" s="9">
        <f>H23*F23</f>
        <v>60</v>
      </c>
      <c r="J23" s="6" t="s">
        <v>51</v>
      </c>
    </row>
    <row r="24" spans="1:10" ht="15.75" customHeight="1" x14ac:dyDescent="0.2">
      <c r="A24" s="1" t="s">
        <v>20</v>
      </c>
      <c r="B24" s="1"/>
      <c r="C24" s="1"/>
      <c r="D24" s="1"/>
      <c r="E24" s="1"/>
      <c r="F24" s="1"/>
      <c r="G24" s="1"/>
      <c r="H24" s="1"/>
      <c r="I24" s="1"/>
      <c r="J24" s="1"/>
    </row>
    <row r="25" spans="1:10" ht="30" customHeight="1" x14ac:dyDescent="0.2">
      <c r="A25" s="10">
        <v>12</v>
      </c>
      <c r="B25" s="10" t="s">
        <v>20</v>
      </c>
      <c r="C25" s="11" t="s">
        <v>21</v>
      </c>
      <c r="D25" s="10" t="s">
        <v>53</v>
      </c>
      <c r="E25" s="11" t="s">
        <v>22</v>
      </c>
      <c r="F25" s="12">
        <v>1</v>
      </c>
      <c r="G25" s="12" t="s">
        <v>12</v>
      </c>
      <c r="H25" s="13">
        <v>70</v>
      </c>
      <c r="I25" s="14">
        <f>F25*H25</f>
        <v>70</v>
      </c>
      <c r="J25" s="11" t="s">
        <v>52</v>
      </c>
    </row>
    <row r="26" spans="1:10" ht="15.75" customHeight="1" x14ac:dyDescent="0.2">
      <c r="A26" s="20" t="s">
        <v>23</v>
      </c>
      <c r="B26" s="21"/>
      <c r="C26" s="21"/>
      <c r="D26" s="21"/>
      <c r="E26" s="21"/>
      <c r="F26" s="21"/>
      <c r="G26" s="21"/>
      <c r="H26" s="21"/>
      <c r="I26" s="21"/>
      <c r="J26" s="22"/>
    </row>
    <row r="27" spans="1:10" ht="30" customHeight="1" x14ac:dyDescent="0.2">
      <c r="A27" s="10">
        <v>13</v>
      </c>
      <c r="B27" s="10" t="s">
        <v>23</v>
      </c>
      <c r="C27" s="11" t="s">
        <v>65</v>
      </c>
      <c r="D27" s="10" t="s">
        <v>76</v>
      </c>
      <c r="E27" s="11" t="s">
        <v>74</v>
      </c>
      <c r="F27" s="12">
        <v>8</v>
      </c>
      <c r="G27" s="12" t="s">
        <v>12</v>
      </c>
      <c r="H27" s="13"/>
      <c r="I27" s="14"/>
      <c r="J27" s="11"/>
    </row>
    <row r="28" spans="1:10" ht="30" customHeight="1" x14ac:dyDescent="0.2">
      <c r="A28" s="10">
        <v>14</v>
      </c>
      <c r="B28" s="10" t="s">
        <v>23</v>
      </c>
      <c r="C28" s="11" t="s">
        <v>66</v>
      </c>
      <c r="D28" s="10" t="s">
        <v>78</v>
      </c>
      <c r="E28" s="11" t="s">
        <v>74</v>
      </c>
      <c r="F28" s="12">
        <v>4</v>
      </c>
      <c r="G28" s="12" t="s">
        <v>12</v>
      </c>
      <c r="H28" s="13"/>
      <c r="I28" s="14"/>
      <c r="J28" s="11"/>
    </row>
    <row r="29" spans="1:10" ht="30" customHeight="1" x14ac:dyDescent="0.2">
      <c r="A29" s="10">
        <v>15</v>
      </c>
      <c r="B29" s="10" t="s">
        <v>23</v>
      </c>
      <c r="C29" s="11" t="s">
        <v>67</v>
      </c>
      <c r="D29" s="10" t="s">
        <v>77</v>
      </c>
      <c r="E29" s="11" t="s">
        <v>74</v>
      </c>
      <c r="F29" s="12">
        <v>4</v>
      </c>
      <c r="G29" s="12" t="s">
        <v>12</v>
      </c>
      <c r="H29" s="13"/>
      <c r="I29" s="14"/>
      <c r="J29" s="11"/>
    </row>
    <row r="30" spans="1:10" ht="30" customHeight="1" x14ac:dyDescent="0.2">
      <c r="A30" s="10">
        <v>16</v>
      </c>
      <c r="B30" s="10" t="s">
        <v>23</v>
      </c>
      <c r="C30" s="11" t="s">
        <v>68</v>
      </c>
      <c r="D30" s="10" t="s">
        <v>71</v>
      </c>
      <c r="E30" s="11"/>
      <c r="F30" s="12">
        <v>4</v>
      </c>
      <c r="G30" s="12" t="s">
        <v>12</v>
      </c>
      <c r="H30" s="13"/>
      <c r="I30" s="14"/>
      <c r="J30" s="11"/>
    </row>
    <row r="31" spans="1:10" ht="30" customHeight="1" x14ac:dyDescent="0.2">
      <c r="A31" s="10">
        <v>17</v>
      </c>
      <c r="B31" s="10" t="s">
        <v>23</v>
      </c>
      <c r="C31" s="11" t="s">
        <v>70</v>
      </c>
      <c r="D31" s="11" t="s">
        <v>73</v>
      </c>
      <c r="E31" s="11" t="s">
        <v>74</v>
      </c>
      <c r="F31" s="12">
        <v>6</v>
      </c>
      <c r="G31" s="12" t="s">
        <v>12</v>
      </c>
      <c r="H31" s="13">
        <v>0.98</v>
      </c>
      <c r="I31" s="14">
        <f>H31*F31</f>
        <v>5.88</v>
      </c>
      <c r="J31" s="11" t="s">
        <v>75</v>
      </c>
    </row>
    <row r="32" spans="1:10" ht="30" customHeight="1" x14ac:dyDescent="0.2">
      <c r="A32" s="5">
        <v>18</v>
      </c>
      <c r="B32" s="5" t="s">
        <v>23</v>
      </c>
      <c r="C32" s="6" t="s">
        <v>69</v>
      </c>
      <c r="D32" s="5" t="s">
        <v>72</v>
      </c>
      <c r="E32" s="6"/>
      <c r="F32" s="7">
        <v>4</v>
      </c>
      <c r="G32" s="7" t="s">
        <v>12</v>
      </c>
      <c r="H32" s="8"/>
      <c r="I32" s="9"/>
      <c r="J32" s="6"/>
    </row>
    <row r="33" spans="1:10" ht="6" customHeight="1" thickBot="1" x14ac:dyDescent="0.25"/>
    <row r="34" spans="1:10" ht="21.75" customHeight="1" thickBot="1" x14ac:dyDescent="0.25">
      <c r="A34" s="17" t="s">
        <v>54</v>
      </c>
      <c r="B34" s="18"/>
      <c r="C34" s="18"/>
      <c r="D34" s="18"/>
      <c r="E34" s="18"/>
      <c r="F34" s="18"/>
      <c r="G34" s="18"/>
      <c r="H34" s="19"/>
      <c r="I34" s="15">
        <f>SUMIF(B5:B32,"&lt;&gt;",I5:I32)</f>
        <v>244.07999999999998</v>
      </c>
      <c r="J34" s="16"/>
    </row>
  </sheetData>
  <mergeCells count="12">
    <mergeCell ref="A24:J24"/>
    <mergeCell ref="A26:J26"/>
    <mergeCell ref="A34:H34"/>
    <mergeCell ref="A13:J13"/>
    <mergeCell ref="A16:J16"/>
    <mergeCell ref="A19:J19"/>
    <mergeCell ref="A22:J22"/>
    <mergeCell ref="A1:J1"/>
    <mergeCell ref="A2:J2"/>
    <mergeCell ref="A5:J5"/>
    <mergeCell ref="A9:J9"/>
    <mergeCell ref="A11:J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Hazard, Bennett</cp:lastModifiedBy>
  <cp:revision>0</cp:revision>
  <dcterms:created xsi:type="dcterms:W3CDTF">2026-06-06T21:37:15Z</dcterms:created>
  <dcterms:modified xsi:type="dcterms:W3CDTF">2026-06-08T05:27:47Z</dcterms:modified>
  <dc:language>en-US</dc:language>
</cp:coreProperties>
</file>